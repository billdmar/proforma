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Assumptions" sheetId="2" state="visible" r:id="rId2"/>
    <sheet name="Acquirer" sheetId="3" state="visible" r:id="rId3"/>
    <sheet name="Target" sheetId="4" state="visible" r:id="rId4"/>
    <sheet name="Deal &amp; S&amp;U" sheetId="5" state="visible" r:id="rId5"/>
    <sheet name="PPA" sheetId="6" state="visible" r:id="rId6"/>
    <sheet name="Pro Forma IS" sheetId="7" state="visible" r:id="rId7"/>
    <sheet name="Pro Forma BS" sheetId="8" state="visible" r:id="rId8"/>
    <sheet name="Accretion-Dilution" sheetId="9" state="visible" r:id="rId9"/>
    <sheet name="Contribution" sheetId="10" state="visible" r:id="rId10"/>
    <sheet name="Sensitivities" sheetId="11" state="visible" r:id="rId11"/>
    <sheet name="Precedents" sheetId="12" state="visible" r:id="rId12"/>
    <sheet name="Fairness Comparison" sheetId="13" state="visible" r:id="rId13"/>
  </sheets>
  <definedNames>
    <definedName name="DealValue">'Deal &amp; S&amp;U'!B23</definedName>
    <definedName name="EquityPurchasePrice">'Deal &amp; S&amp;U'!B6</definedName>
    <definedName name="CashPerShare">'Assumptions'!B8</definedName>
    <definedName name="ExchangeRatio">'Assumptions'!B9</definedName>
    <definedName name="ImpliedPremium">'Deal &amp; S&amp;U'!B9</definedName>
    <definedName name="Goodwill">'PPA'!B11</definedName>
    <definedName name="NewDebt">'Assumptions'!B15</definedName>
    <definedName name="NewSharesIssued">'Deal &amp; S&amp;U'!B8</definedName>
    <definedName name="ProFormaEPS_Y1">'Pro Forma IS'!B14</definedName>
    <definedName name="Accretion_Y1">'Accretion-Dilution'!B6</definedName>
    <definedName name="Accretion_Y2">'Accretion-Dilution'!C6</definedName>
    <definedName name="Accretion_Y3">'Accretion-Dilution'!D6</definedName>
    <definedName name="BreakevenSynergies">'Sensitivities'!B3</definedName>
    <definedName name="AcquirerOwnership">'Contribution'!B14</definedName>
    <definedName name="TargetOwnership">'Contribution'!B15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;(#,##0)"/>
    <numFmt numFmtId="166" formatCode="0.0x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name val="Calibri"/>
      <color rgb="000000CC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2" fillId="3" borderId="0" pivotButton="0" quotePrefix="0" xfId="0"/>
    <xf numFmtId="165" fontId="5" fillId="0" borderId="0" pivotButton="0" quotePrefix="0" xfId="0"/>
    <xf numFmtId="164" fontId="5" fillId="0" borderId="0" pivotButton="0" quotePrefix="0" xfId="0"/>
    <xf numFmtId="164" fontId="4" fillId="0" borderId="0" pivotButton="0" quotePrefix="0" xfId="0"/>
    <xf numFmtId="2" fontId="4" fillId="0" borderId="0" pivotButton="0" quotePrefix="0" xfId="0"/>
    <xf numFmtId="3" fontId="4" fillId="0" borderId="0" pivotButton="0" quotePrefix="0" xfId="0"/>
    <xf numFmtId="165" fontId="4" fillId="0" borderId="0" pivotButton="0" quotePrefix="0" xfId="0"/>
    <xf numFmtId="0" fontId="2" fillId="0" borderId="0" pivotButton="0" quotePrefix="0" xfId="0"/>
    <xf numFmtId="1" fontId="5" fillId="0" borderId="0" pivotButton="0" quotePrefix="0" xfId="0"/>
    <xf numFmtId="2" fontId="5" fillId="0" borderId="0" pivotButton="0" quotePrefix="0" xfId="0"/>
    <xf numFmtId="3" fontId="5" fillId="0" borderId="0" pivotButton="0" quotePrefix="0" xfId="0"/>
    <xf numFmtId="166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Accretion / (Dilution) by Year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'Accretion-Dilution'!$B$3:$F$3</f>
            </numRef>
          </cat>
          <val>
            <numRef>
              <f>'Accretion-Dilution'!$B$6:$F$6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8</row>
      <rowOff>0</rowOff>
    </from>
    <ext cx="5400000" cy="23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Synopsys, Inc. (SNPS) acquires ANSYS, Inc. (ANSS)</t>
        </is>
      </c>
    </row>
    <row r="3">
      <c r="A3" s="2" t="inlineStr">
        <is>
          <t>Announced</t>
        </is>
      </c>
      <c r="B3" t="inlineStr">
        <is>
          <t>2024-01-16</t>
        </is>
      </c>
    </row>
    <row r="4">
      <c r="A4" s="2" t="inlineStr">
        <is>
          <t>Expected close</t>
        </is>
      </c>
      <c r="B4" t="inlineStr">
        <is>
          <t>Pending</t>
        </is>
      </c>
    </row>
    <row r="6">
      <c r="A6" s="3" t="inlineStr">
        <is>
          <t>Headline</t>
        </is>
      </c>
    </row>
    <row r="7">
      <c r="A7" s="2" t="inlineStr">
        <is>
          <t>Equity purchase price</t>
        </is>
      </c>
      <c r="B7" s="4">
        <f>'Deal &amp; S&amp;U'!B6</f>
        <v/>
      </c>
    </row>
    <row r="8">
      <c r="A8" s="2" t="inlineStr">
        <is>
          <t>Implied premium</t>
        </is>
      </c>
      <c r="B8" s="5">
        <f>'Deal &amp; S&amp;U'!B9</f>
        <v/>
      </c>
    </row>
    <row r="9">
      <c r="A9" s="2" t="inlineStr">
        <is>
          <t>Goodwill created</t>
        </is>
      </c>
      <c r="B9" s="4">
        <f>'PPA'!B11</f>
        <v/>
      </c>
    </row>
    <row r="11">
      <c r="A11" s="3" t="inlineStr">
        <is>
          <t>Accretion / (dilution) — primary case</t>
        </is>
      </c>
    </row>
    <row r="12">
      <c r="A12" s="2" t="inlineStr">
        <is>
          <t>Year 1</t>
        </is>
      </c>
      <c r="B12" s="5">
        <f>'Accretion-Dilution'!B6</f>
        <v/>
      </c>
    </row>
    <row r="13">
      <c r="A13" s="2" t="inlineStr">
        <is>
          <t>Year 2</t>
        </is>
      </c>
      <c r="B13" s="5">
        <f>'Accretion-Dilution'!C6</f>
        <v/>
      </c>
    </row>
    <row r="14">
      <c r="A14" s="2" t="inlineStr">
        <is>
          <t>Year 3</t>
        </is>
      </c>
      <c r="B14" s="5">
        <f>'Accretion-Dilution'!D6</f>
        <v/>
      </c>
    </row>
    <row r="16">
      <c r="A16" s="2" t="inlineStr">
        <is>
          <t>Educational project — not investment advice. SEC EDGAR data used per fair-access policy; no SEC or advisor endorsement implied.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Assumptions (inputs — blue)</t>
        </is>
      </c>
    </row>
    <row r="3">
      <c r="A3" s="3" t="inlineStr">
        <is>
          <t>Standalone drivers</t>
        </is>
      </c>
    </row>
    <row r="4">
      <c r="A4" s="2" t="inlineStr">
        <is>
          <t>Acquirer revenue growth</t>
        </is>
      </c>
      <c r="B4" s="6" t="n">
        <v>0.11</v>
      </c>
      <c r="C4" s="6" t="n">
        <v>0.1</v>
      </c>
      <c r="D4" s="6" t="n">
        <v>0.1</v>
      </c>
      <c r="E4" s="6" t="n">
        <v>0.09</v>
      </c>
      <c r="F4" s="6" t="n">
        <v>0.09</v>
      </c>
    </row>
    <row r="5">
      <c r="A5" s="2" t="inlineStr">
        <is>
          <t>Target revenue growth</t>
        </is>
      </c>
      <c r="B5" s="6" t="n">
        <v>0.09</v>
      </c>
      <c r="C5" s="6" t="n">
        <v>0.08</v>
      </c>
      <c r="D5" s="6" t="n">
        <v>0.08</v>
      </c>
      <c r="E5" s="6" t="n">
        <v>0.07000000000000001</v>
      </c>
      <c r="F5" s="6" t="n">
        <v>0.07000000000000001</v>
      </c>
    </row>
    <row r="7">
      <c r="A7" s="3" t="inlineStr">
        <is>
          <t>Deal terms (disclosed)</t>
        </is>
      </c>
    </row>
    <row r="8">
      <c r="A8" s="2" t="inlineStr">
        <is>
          <t>Cash per target share</t>
        </is>
      </c>
      <c r="B8" s="7" t="n">
        <v>197</v>
      </c>
    </row>
    <row r="9">
      <c r="A9" s="2" t="inlineStr">
        <is>
          <t>Exchange ratio</t>
        </is>
      </c>
      <c r="B9" s="7" t="n">
        <v>0.345</v>
      </c>
    </row>
    <row r="10">
      <c r="A10" s="2" t="inlineStr">
        <is>
          <t>Reference acquirer price</t>
        </is>
      </c>
      <c r="B10" s="7" t="n">
        <v>559.96</v>
      </c>
    </row>
    <row r="11">
      <c r="A11" s="2" t="inlineStr">
        <is>
          <t>Target shares outstanding</t>
        </is>
      </c>
      <c r="B11" s="8" t="n">
        <v>87299981</v>
      </c>
    </row>
    <row r="12">
      <c r="A12" s="2" t="inlineStr">
        <is>
          <t>Premium reference price</t>
        </is>
      </c>
      <c r="B12" s="7" t="n">
        <v>303.16</v>
      </c>
    </row>
    <row r="14">
      <c r="A14" s="3" t="inlineStr">
        <is>
          <t>Our deal assumptions</t>
        </is>
      </c>
    </row>
    <row r="15">
      <c r="A15" s="2" t="inlineStr">
        <is>
          <t>New acquisition debt</t>
        </is>
      </c>
      <c r="B15" s="9" t="n">
        <v>14300000000</v>
      </c>
    </row>
    <row r="16">
      <c r="A16" s="2" t="inlineStr">
        <is>
          <t>New debt rate</t>
        </is>
      </c>
      <c r="B16" s="6" t="n">
        <v>0.05</v>
      </c>
    </row>
    <row r="17">
      <c r="A17" s="2" t="inlineStr">
        <is>
          <t>Cash on hand used</t>
        </is>
      </c>
      <c r="B17" s="9" t="n">
        <v>3048096257</v>
      </c>
    </row>
    <row r="18">
      <c r="A18" s="2" t="inlineStr">
        <is>
          <t>Foregone cash yield</t>
        </is>
      </c>
      <c r="B18" s="6" t="n">
        <v>0.04</v>
      </c>
    </row>
    <row r="19">
      <c r="A19" s="2" t="inlineStr">
        <is>
          <t>Advisory fees</t>
        </is>
      </c>
      <c r="B19" s="9" t="n">
        <v>100000000</v>
      </c>
    </row>
    <row r="20">
      <c r="A20" s="2" t="inlineStr">
        <is>
          <t>Financing fees</t>
        </is>
      </c>
      <c r="B20" s="9" t="n">
        <v>50000000</v>
      </c>
    </row>
    <row r="21">
      <c r="A21" s="2" t="inlineStr">
        <is>
          <t>Intangible step-up</t>
        </is>
      </c>
      <c r="B21" s="9" t="n">
        <v>8000000000</v>
      </c>
    </row>
    <row r="22">
      <c r="A22" s="2" t="inlineStr">
        <is>
          <t>PP&amp;E step-up</t>
        </is>
      </c>
      <c r="B22" s="9" t="n">
        <v>0</v>
      </c>
    </row>
    <row r="23">
      <c r="A23" s="2" t="inlineStr">
        <is>
          <t>Deferred-tax rate on step-ups</t>
        </is>
      </c>
      <c r="B23" s="6" t="n">
        <v>0.21</v>
      </c>
    </row>
    <row r="24">
      <c r="A24" s="2" t="inlineStr">
        <is>
          <t>Marginal tax rate</t>
        </is>
      </c>
      <c r="B24" s="6" t="n">
        <v>0.16</v>
      </c>
    </row>
    <row r="26">
      <c r="A26" s="3" t="inlineStr">
        <is>
          <t>Purchase price accounting — book inputs</t>
        </is>
      </c>
    </row>
    <row r="27">
      <c r="A27" s="2" t="inlineStr">
        <is>
          <t>Target book equity</t>
        </is>
      </c>
      <c r="B27" s="9" t="n">
        <v>8918797000</v>
      </c>
    </row>
    <row r="28">
      <c r="A28" s="2" t="inlineStr">
        <is>
          <t>Target existing goodwill</t>
        </is>
      </c>
      <c r="B28" s="9" t="n">
        <v>3778128000</v>
      </c>
    </row>
    <row r="30">
      <c r="A30" s="3" t="inlineStr">
        <is>
          <t>Synergy cases (run-rate, pre-tax)</t>
        </is>
      </c>
    </row>
    <row r="31">
      <c r="A31" s="2" t="inlineStr">
        <is>
          <t>Base (ours) (our case)</t>
        </is>
      </c>
      <c r="B31" s="9" t="n">
        <v>300000000</v>
      </c>
    </row>
    <row r="32">
      <c r="A32" s="2" t="inlineStr">
        <is>
          <t>Conservative (ours) (our case)</t>
        </is>
      </c>
      <c r="B32" s="9" t="n">
        <v>150000000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Acquirer — standalone</t>
        </is>
      </c>
    </row>
    <row r="3">
      <c r="A3" s="10" t="inlineStr">
        <is>
          <t>Line ($)</t>
        </is>
      </c>
      <c r="B3" s="11" t="inlineStr">
        <is>
          <t>Base</t>
        </is>
      </c>
      <c r="C3" s="10" t="inlineStr">
        <is>
          <t>Y1</t>
        </is>
      </c>
      <c r="D3" s="10" t="inlineStr">
        <is>
          <t>Y2</t>
        </is>
      </c>
      <c r="E3" s="10" t="inlineStr">
        <is>
          <t>Y3</t>
        </is>
      </c>
      <c r="F3" s="10" t="inlineStr">
        <is>
          <t>Y4</t>
        </is>
      </c>
      <c r="G3" s="10" t="inlineStr">
        <is>
          <t>Y5</t>
        </is>
      </c>
    </row>
    <row r="4">
      <c r="A4" s="2" t="inlineStr">
        <is>
          <t>Revenue</t>
        </is>
      </c>
      <c r="B4" s="4" t="n">
        <v>6127436000</v>
      </c>
      <c r="C4" s="4">
        <f>B4*(1+'Assumptions'!B4)</f>
        <v/>
      </c>
      <c r="D4" s="4">
        <f>C4*(1+'Assumptions'!C4)</f>
        <v/>
      </c>
      <c r="E4" s="4">
        <f>D4*(1+'Assumptions'!D4)</f>
        <v/>
      </c>
      <c r="F4" s="4">
        <f>E4*(1+'Assumptions'!E4)</f>
        <v/>
      </c>
      <c r="G4" s="4">
        <f>F4*(1+'Assumptions'!F4)</f>
        <v/>
      </c>
    </row>
    <row r="5">
      <c r="A5" s="2" t="inlineStr">
        <is>
          <t>Net income</t>
        </is>
      </c>
      <c r="C5" s="4" t="n">
        <v>2007774448.201239</v>
      </c>
      <c r="D5" s="4" t="n">
        <v>2249325179.951699</v>
      </c>
      <c r="E5" s="4" t="n">
        <v>2516479511.742896</v>
      </c>
      <c r="F5" s="4" t="n">
        <v>2788496983.756372</v>
      </c>
      <c r="G5" s="4" t="n">
        <v>3086330768.216859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Target — standalone</t>
        </is>
      </c>
    </row>
    <row r="3">
      <c r="A3" s="10" t="inlineStr">
        <is>
          <t>Line ($)</t>
        </is>
      </c>
      <c r="B3" s="11" t="inlineStr">
        <is>
          <t>Base</t>
        </is>
      </c>
      <c r="C3" s="10" t="inlineStr">
        <is>
          <t>Y1</t>
        </is>
      </c>
      <c r="D3" s="10" t="inlineStr">
        <is>
          <t>Y2</t>
        </is>
      </c>
      <c r="E3" s="10" t="inlineStr">
        <is>
          <t>Y3</t>
        </is>
      </c>
      <c r="F3" s="10" t="inlineStr">
        <is>
          <t>Y4</t>
        </is>
      </c>
      <c r="G3" s="10" t="inlineStr">
        <is>
          <t>Y5</t>
        </is>
      </c>
    </row>
    <row r="4">
      <c r="A4" s="2" t="inlineStr">
        <is>
          <t>Revenue</t>
        </is>
      </c>
      <c r="B4" s="4" t="n">
        <v>2544809000</v>
      </c>
      <c r="C4" s="4">
        <f>B4*(1+'Assumptions'!B5)</f>
        <v/>
      </c>
      <c r="D4" s="4">
        <f>C4*(1+'Assumptions'!C5)</f>
        <v/>
      </c>
      <c r="E4" s="4">
        <f>D4*(1+'Assumptions'!D5)</f>
        <v/>
      </c>
      <c r="F4" s="4">
        <f>E4*(1+'Assumptions'!E5)</f>
        <v/>
      </c>
      <c r="G4" s="4">
        <f>F4*(1+'Assumptions'!F5)</f>
        <v/>
      </c>
    </row>
    <row r="5">
      <c r="A5" s="2" t="inlineStr">
        <is>
          <t>Net income</t>
        </is>
      </c>
      <c r="C5" s="4" t="n">
        <v>713557569.2360203</v>
      </c>
      <c r="D5" s="4" t="n">
        <v>777001099.7631623</v>
      </c>
      <c r="E5" s="4" t="n">
        <v>839313802.7846951</v>
      </c>
      <c r="F5" s="4" t="n">
        <v>898527649.4549419</v>
      </c>
      <c r="G5" s="4" t="n">
        <v>961965784.6221931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Deal — consideration, sources &amp; uses</t>
        </is>
      </c>
    </row>
    <row r="3">
      <c r="A3" s="3" t="inlineStr">
        <is>
          <t>Consideration</t>
        </is>
      </c>
    </row>
    <row r="4">
      <c r="A4" s="2" t="inlineStr">
        <is>
          <t>Aggregate cash consideration</t>
        </is>
      </c>
      <c r="B4" s="4">
        <f>'Assumptions'!B8*'Assumptions'!B11</f>
        <v/>
      </c>
    </row>
    <row r="5">
      <c r="A5" s="2" t="inlineStr">
        <is>
          <t>Aggregate stock consideration</t>
        </is>
      </c>
      <c r="B5" s="4">
        <f>'Assumptions'!B9*'Assumptions'!B10*'Assumptions'!B11</f>
        <v/>
      </c>
    </row>
    <row r="6">
      <c r="A6" s="10" t="inlineStr">
        <is>
          <t>Equity purchase price</t>
        </is>
      </c>
      <c r="B6" s="4">
        <f>B4+B5</f>
        <v/>
      </c>
    </row>
    <row r="7">
      <c r="A7" s="2" t="inlineStr">
        <is>
          <t>Total consideration per share</t>
        </is>
      </c>
      <c r="B7" s="12">
        <f>'Assumptions'!B8+'Assumptions'!B9*'Assumptions'!B10</f>
        <v/>
      </c>
    </row>
    <row r="8">
      <c r="A8" s="2" t="inlineStr">
        <is>
          <t>New shares issued</t>
        </is>
      </c>
      <c r="B8" s="13">
        <f>'Assumptions'!B9*'Assumptions'!B11</f>
        <v/>
      </c>
    </row>
    <row r="9">
      <c r="A9" s="2" t="inlineStr">
        <is>
          <t>Implied premium</t>
        </is>
      </c>
      <c r="B9" s="5">
        <f>B7/'Assumptions'!B12-1</f>
        <v/>
      </c>
    </row>
    <row r="11">
      <c r="A11" s="3" t="inlineStr">
        <is>
          <t>Sources</t>
        </is>
      </c>
    </row>
    <row r="12">
      <c r="A12" s="2" t="inlineStr">
        <is>
          <t>New debt</t>
        </is>
      </c>
      <c r="B12" s="4" t="n">
        <v>14300000000</v>
      </c>
    </row>
    <row r="13">
      <c r="A13" s="2" t="inlineStr">
        <is>
          <t>Cash on hand</t>
        </is>
      </c>
      <c r="B13" s="4" t="n">
        <v>3048096257</v>
      </c>
    </row>
    <row r="14">
      <c r="A14" s="2" t="inlineStr">
        <is>
          <t>Stock issued</t>
        </is>
      </c>
      <c r="B14" s="4" t="n">
        <v>16865151589.4622</v>
      </c>
    </row>
    <row r="15">
      <c r="A15" s="2" t="inlineStr">
        <is>
          <t>Additional cash</t>
        </is>
      </c>
      <c r="B15" s="4" t="n">
        <v>0</v>
      </c>
    </row>
    <row r="16">
      <c r="A16" s="10" t="inlineStr">
        <is>
          <t>Total sources</t>
        </is>
      </c>
      <c r="B16" s="4">
        <f>SUM(B12:B15)</f>
        <v/>
      </c>
    </row>
    <row r="18">
      <c r="A18" s="3" t="inlineStr">
        <is>
          <t>Uses</t>
        </is>
      </c>
    </row>
    <row r="19">
      <c r="A19" s="2" t="inlineStr">
        <is>
          <t>Equity purchase price</t>
        </is>
      </c>
      <c r="B19" s="4" t="n">
        <v>34063247846.4622</v>
      </c>
    </row>
    <row r="20">
      <c r="A20" s="2" t="inlineStr">
        <is>
          <t>Refinance target debt</t>
        </is>
      </c>
      <c r="B20" s="4" t="n">
        <v>0</v>
      </c>
    </row>
    <row r="21">
      <c r="A21" s="2" t="inlineStr">
        <is>
          <t>Advisory fees</t>
        </is>
      </c>
      <c r="B21" s="4" t="n">
        <v>100000000</v>
      </c>
    </row>
    <row r="22">
      <c r="A22" s="2" t="inlineStr">
        <is>
          <t>Financing fees</t>
        </is>
      </c>
      <c r="B22" s="4" t="n">
        <v>50000000</v>
      </c>
    </row>
    <row r="23">
      <c r="A23" s="10" t="inlineStr">
        <is>
          <t>Total uses</t>
        </is>
      </c>
      <c r="B23" s="4">
        <f>SUM(B19:B22)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Purchase price accounting → goodwill (the plug)</t>
        </is>
      </c>
    </row>
    <row r="3">
      <c r="A3" s="2" t="inlineStr">
        <is>
          <t>Equity purchase price</t>
        </is>
      </c>
      <c r="B3" s="4">
        <f>'Deal &amp; S&amp;U'!B6</f>
        <v/>
      </c>
    </row>
    <row r="4">
      <c r="A4" s="2" t="inlineStr">
        <is>
          <t>Target book equity</t>
        </is>
      </c>
      <c r="B4" s="4">
        <f>'Assumptions'!B27</f>
        <v/>
      </c>
    </row>
    <row r="5">
      <c r="A5" s="2" t="inlineStr">
        <is>
          <t>Less: existing goodwill written off</t>
        </is>
      </c>
      <c r="B5" s="4">
        <f>'Assumptions'!B28</f>
        <v/>
      </c>
    </row>
    <row r="6">
      <c r="A6" s="2" t="inlineStr">
        <is>
          <t>Identifiable net assets at book</t>
        </is>
      </c>
      <c r="B6" s="4">
        <f>B4-B5</f>
        <v/>
      </c>
    </row>
    <row r="7">
      <c r="A7" s="2" t="inlineStr">
        <is>
          <t>Intangible step-up</t>
        </is>
      </c>
      <c r="B7" s="4">
        <f>'Assumptions'!B21</f>
        <v/>
      </c>
    </row>
    <row r="8">
      <c r="A8" s="2" t="inlineStr">
        <is>
          <t>PP&amp;E step-up</t>
        </is>
      </c>
      <c r="B8" s="4">
        <f>'Assumptions'!B22</f>
        <v/>
      </c>
    </row>
    <row r="9">
      <c r="A9" s="2" t="inlineStr">
        <is>
          <t>Deferred tax liability on step-ups</t>
        </is>
      </c>
      <c r="B9" s="4">
        <f>(B7+B8)*'Assumptions'!B23</f>
        <v/>
      </c>
    </row>
    <row r="10">
      <c r="A10" s="10" t="inlineStr">
        <is>
          <t>Net identifiable assets</t>
        </is>
      </c>
      <c r="B10" s="4">
        <f>B6+B7+B8-B9</f>
        <v/>
      </c>
    </row>
    <row r="11">
      <c r="A11" s="10" t="inlineStr">
        <is>
          <t>Goodwill</t>
        </is>
      </c>
      <c r="B11" s="4">
        <f>B3-B10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Pro Forma Income Statement (primary synergy case)</t>
        </is>
      </c>
    </row>
    <row r="3">
      <c r="A3" s="10" t="inlineStr">
        <is>
          <t>Line ($)</t>
        </is>
      </c>
      <c r="B3" s="10" t="inlineStr">
        <is>
          <t>Y1</t>
        </is>
      </c>
      <c r="C3" s="10" t="inlineStr">
        <is>
          <t>Y2</t>
        </is>
      </c>
      <c r="D3" s="10" t="inlineStr">
        <is>
          <t>Y3</t>
        </is>
      </c>
      <c r="E3" s="10" t="inlineStr">
        <is>
          <t>Y4</t>
        </is>
      </c>
      <c r="F3" s="10" t="inlineStr">
        <is>
          <t>Y5</t>
        </is>
      </c>
    </row>
    <row r="4">
      <c r="A4" s="2" t="inlineStr">
        <is>
          <t>Acquirer standalone net income</t>
        </is>
      </c>
      <c r="B4" s="4" t="n">
        <v>2007774448.201239</v>
      </c>
      <c r="C4" s="4" t="n">
        <v>2249325179.951699</v>
      </c>
      <c r="D4" s="4" t="n">
        <v>2516479511.742896</v>
      </c>
      <c r="E4" s="4" t="n">
        <v>2788496983.756372</v>
      </c>
      <c r="F4" s="4" t="n">
        <v>3086330768.216859</v>
      </c>
    </row>
    <row r="5">
      <c r="A5" s="2" t="inlineStr">
        <is>
          <t>Target standalone net income</t>
        </is>
      </c>
      <c r="B5" s="4" t="n">
        <v>713557569.2360203</v>
      </c>
      <c r="C5" s="4" t="n">
        <v>777001099.7631623</v>
      </c>
      <c r="D5" s="4" t="n">
        <v>839313802.7846951</v>
      </c>
      <c r="E5" s="4" t="n">
        <v>898527649.4549419</v>
      </c>
      <c r="F5" s="4" t="n">
        <v>961965784.6221931</v>
      </c>
    </row>
    <row r="6">
      <c r="A6" s="2" t="inlineStr">
        <is>
          <t>Less: incremental interest (after-tax)</t>
        </is>
      </c>
      <c r="B6" s="4" t="n">
        <v>600600000</v>
      </c>
      <c r="C6" s="4" t="n">
        <v>600600000</v>
      </c>
      <c r="D6" s="4" t="n">
        <v>600600000</v>
      </c>
      <c r="E6" s="4" t="n">
        <v>600600000</v>
      </c>
      <c r="F6" s="4" t="n">
        <v>600600000</v>
      </c>
    </row>
    <row r="7">
      <c r="A7" s="2" t="inlineStr">
        <is>
          <t>Less: foregone interest income (after-tax)</t>
        </is>
      </c>
      <c r="B7" s="4" t="n">
        <v>102416034.2352</v>
      </c>
      <c r="C7" s="4" t="n">
        <v>102416034.2352</v>
      </c>
      <c r="D7" s="4" t="n">
        <v>102416034.2352</v>
      </c>
      <c r="E7" s="4" t="n">
        <v>102416034.2352</v>
      </c>
      <c r="F7" s="4" t="n">
        <v>102416034.2352</v>
      </c>
    </row>
    <row r="8">
      <c r="A8" s="2" t="inlineStr">
        <is>
          <t>Less: incremental D&amp;A (after-tax)</t>
        </is>
      </c>
      <c r="B8" s="4" t="n">
        <v>672000000</v>
      </c>
      <c r="C8" s="4" t="n">
        <v>672000000</v>
      </c>
      <c r="D8" s="4" t="n">
        <v>672000000</v>
      </c>
      <c r="E8" s="4" t="n">
        <v>672000000</v>
      </c>
      <c r="F8" s="4" t="n">
        <v>672000000</v>
      </c>
    </row>
    <row r="9">
      <c r="A9" s="2" t="inlineStr">
        <is>
          <t>Plus: synergies (after-tax)</t>
        </is>
      </c>
      <c r="B9" s="4" t="n">
        <v>126000000</v>
      </c>
      <c r="C9" s="4" t="n">
        <v>189000000</v>
      </c>
      <c r="D9" s="4" t="n">
        <v>252000000</v>
      </c>
      <c r="E9" s="4" t="n">
        <v>252000000</v>
      </c>
      <c r="F9" s="4" t="n">
        <v>252000000</v>
      </c>
    </row>
    <row r="10">
      <c r="A10" s="10" t="inlineStr">
        <is>
          <t>Pro forma net income</t>
        </is>
      </c>
      <c r="B10" s="4">
        <f>B4+B5-B6-B7-B8+B9</f>
        <v/>
      </c>
      <c r="C10" s="4">
        <f>C4+C5-C6-C7-C8+C9</f>
        <v/>
      </c>
      <c r="D10" s="4">
        <f>D4+D5-D6-D7-D8+D9</f>
        <v/>
      </c>
      <c r="E10" s="4">
        <f>E4+E5-E6-E7-E8+E9</f>
        <v/>
      </c>
      <c r="F10" s="4">
        <f>F4+F5-F6-F7-F8+F9</f>
        <v/>
      </c>
    </row>
    <row r="11">
      <c r="A11" s="2" t="inlineStr">
        <is>
          <t>Acquirer standalone shares</t>
        </is>
      </c>
      <c r="B11" s="13" t="n">
        <v>155944000</v>
      </c>
      <c r="C11" s="13" t="n">
        <v>155944000</v>
      </c>
      <c r="D11" s="13" t="n">
        <v>155944000</v>
      </c>
      <c r="E11" s="13" t="n">
        <v>155944000</v>
      </c>
      <c r="F11" s="13" t="n">
        <v>155944000</v>
      </c>
    </row>
    <row r="12">
      <c r="A12" s="2" t="inlineStr">
        <is>
          <t>New shares issued</t>
        </is>
      </c>
      <c r="B12" s="13">
        <f>'Deal &amp; S&amp;U'!B8</f>
        <v/>
      </c>
      <c r="C12" s="13">
        <f>'Deal &amp; S&amp;U'!B8</f>
        <v/>
      </c>
      <c r="D12" s="13">
        <f>'Deal &amp; S&amp;U'!B8</f>
        <v/>
      </c>
      <c r="E12" s="13">
        <f>'Deal &amp; S&amp;U'!B8</f>
        <v/>
      </c>
      <c r="F12" s="13">
        <f>'Deal &amp; S&amp;U'!B8</f>
        <v/>
      </c>
    </row>
    <row r="13">
      <c r="A13" s="10" t="inlineStr">
        <is>
          <t>Pro forma shares</t>
        </is>
      </c>
      <c r="B13" s="13">
        <f>B11+B12</f>
        <v/>
      </c>
      <c r="C13" s="13">
        <f>C11+C12</f>
        <v/>
      </c>
      <c r="D13" s="13">
        <f>D11+D12</f>
        <v/>
      </c>
      <c r="E13" s="13">
        <f>E11+E12</f>
        <v/>
      </c>
      <c r="F13" s="13">
        <f>F11+F12</f>
        <v/>
      </c>
    </row>
    <row r="14">
      <c r="A14" s="10" t="inlineStr">
        <is>
          <t>Pro forma EPS</t>
        </is>
      </c>
      <c r="B14" s="12">
        <f>B10/B13</f>
        <v/>
      </c>
      <c r="C14" s="12">
        <f>C10/C13</f>
        <v/>
      </c>
      <c r="D14" s="12">
        <f>D10/D13</f>
        <v/>
      </c>
      <c r="E14" s="12">
        <f>E10/E13</f>
        <v/>
      </c>
      <c r="F14" s="12">
        <f>F10/F13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Pro Forma Balance Sheet (engine-computed, invariant-checked)</t>
        </is>
      </c>
    </row>
    <row r="3">
      <c r="A3" s="10" t="inlineStr">
        <is>
          <t>Line ($)</t>
        </is>
      </c>
      <c r="B3" s="10" t="inlineStr">
        <is>
          <t>FY2025E</t>
        </is>
      </c>
      <c r="C3" s="10" t="inlineStr">
        <is>
          <t>FY2026E</t>
        </is>
      </c>
      <c r="D3" s="10" t="inlineStr">
        <is>
          <t>FY2027E</t>
        </is>
      </c>
      <c r="E3" s="10" t="inlineStr">
        <is>
          <t>FY2028E</t>
        </is>
      </c>
      <c r="F3" s="10" t="inlineStr">
        <is>
          <t>FY2029E</t>
        </is>
      </c>
    </row>
    <row r="4">
      <c r="A4" s="2" t="inlineStr">
        <is>
          <t>Cash &amp; equivalents</t>
        </is>
      </c>
      <c r="B4" s="4" t="n">
        <v>4787963965.639595</v>
      </c>
      <c r="C4" s="4" t="n">
        <v>7099726966.555733</v>
      </c>
      <c r="D4" s="4" t="n">
        <v>9683424100.849157</v>
      </c>
      <c r="E4" s="4" t="n">
        <v>12563430742.66372</v>
      </c>
      <c r="F4" s="4" t="n">
        <v>15747689358.74642</v>
      </c>
    </row>
    <row r="5">
      <c r="A5" s="2" t="inlineStr">
        <is>
          <t>Goodwill</t>
        </is>
      </c>
      <c r="B5" s="4" t="n">
        <v>26051428846.4622</v>
      </c>
      <c r="C5" s="4" t="n">
        <v>26051428846.4622</v>
      </c>
      <c r="D5" s="4" t="n">
        <v>26051428846.4622</v>
      </c>
      <c r="E5" s="4" t="n">
        <v>26051428846.4622</v>
      </c>
      <c r="F5" s="4" t="n">
        <v>26051428846.4622</v>
      </c>
    </row>
    <row r="6">
      <c r="A6" s="2" t="inlineStr">
        <is>
          <t>Total assets</t>
        </is>
      </c>
      <c r="B6" s="4" t="n">
        <v>45341886330.08261</v>
      </c>
      <c r="C6" s="4" t="n">
        <v>47604398267.88045</v>
      </c>
      <c r="D6" s="4" t="n">
        <v>50135343087.54243</v>
      </c>
      <c r="E6" s="4" t="n">
        <v>52938063220.65936</v>
      </c>
      <c r="F6" s="4" t="n">
        <v>56039856269.37791</v>
      </c>
    </row>
    <row r="7">
      <c r="A7" s="2" t="inlineStr">
        <is>
          <t>Total liabilities</t>
        </is>
      </c>
      <c r="B7" s="4" t="n">
        <v>15578259292.41918</v>
      </c>
      <c r="C7" s="4" t="n">
        <v>15591446050.26531</v>
      </c>
      <c r="D7" s="4" t="n">
        <v>15605911358.1844</v>
      </c>
      <c r="E7" s="4" t="n">
        <v>15620134507.54496</v>
      </c>
      <c r="F7" s="4" t="n">
        <v>15635596788.04665</v>
      </c>
    </row>
    <row r="8">
      <c r="A8" s="2" t="inlineStr">
        <is>
          <t>Total stockholders' equity</t>
        </is>
      </c>
      <c r="B8" s="4" t="n">
        <v>29763627037.66344</v>
      </c>
      <c r="C8" s="4" t="n">
        <v>32012952217.61514</v>
      </c>
      <c r="D8" s="4" t="n">
        <v>34529431729.35803</v>
      </c>
      <c r="E8" s="4" t="n">
        <v>37317928713.1144</v>
      </c>
      <c r="F8" s="4" t="n">
        <v>40404259481.33126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Accretion / (Dilution) — primary synergy case</t>
        </is>
      </c>
    </row>
    <row r="3">
      <c r="A3" s="10" t="inlineStr">
        <is>
          <t>Line</t>
        </is>
      </c>
      <c r="B3" s="10" t="inlineStr">
        <is>
          <t>Y1</t>
        </is>
      </c>
      <c r="C3" s="10" t="inlineStr">
        <is>
          <t>Y2</t>
        </is>
      </c>
      <c r="D3" s="10" t="inlineStr">
        <is>
          <t>Y3</t>
        </is>
      </c>
      <c r="E3" s="10" t="inlineStr">
        <is>
          <t>Y4</t>
        </is>
      </c>
      <c r="F3" s="10" t="inlineStr">
        <is>
          <t>Y5</t>
        </is>
      </c>
    </row>
    <row r="4">
      <c r="A4" s="2" t="inlineStr">
        <is>
          <t>Acquirer standalone EPS</t>
        </is>
      </c>
      <c r="B4" s="12">
        <f>'Pro Forma IS'!B4/'Pro Forma IS'!B11</f>
        <v/>
      </c>
      <c r="C4" s="12">
        <f>'Pro Forma IS'!C4/'Pro Forma IS'!C11</f>
        <v/>
      </c>
      <c r="D4" s="12">
        <f>'Pro Forma IS'!D4/'Pro Forma IS'!D11</f>
        <v/>
      </c>
      <c r="E4" s="12">
        <f>'Pro Forma IS'!E4/'Pro Forma IS'!E11</f>
        <v/>
      </c>
      <c r="F4" s="12">
        <f>'Pro Forma IS'!F4/'Pro Forma IS'!F11</f>
        <v/>
      </c>
    </row>
    <row r="5">
      <c r="A5" s="2" t="inlineStr">
        <is>
          <t>Pro forma EPS</t>
        </is>
      </c>
      <c r="B5" s="12">
        <f>'Pro Forma IS'!B14</f>
        <v/>
      </c>
      <c r="C5" s="12">
        <f>'Pro Forma IS'!C14</f>
        <v/>
      </c>
      <c r="D5" s="12">
        <f>'Pro Forma IS'!D14</f>
        <v/>
      </c>
      <c r="E5" s="12">
        <f>'Pro Forma IS'!E14</f>
        <v/>
      </c>
      <c r="F5" s="12">
        <f>'Pro Forma IS'!F14</f>
        <v/>
      </c>
    </row>
    <row r="6">
      <c r="A6" s="10" t="inlineStr">
        <is>
          <t>Accretion / (dilution)</t>
        </is>
      </c>
      <c r="B6" s="5">
        <f>B5/B4-1</f>
        <v/>
      </c>
      <c r="C6" s="5">
        <f>C5/C4-1</f>
        <v/>
      </c>
      <c r="D6" s="5">
        <f>D5/D4-1</f>
        <v/>
      </c>
      <c r="E6" s="5">
        <f>E5/E4-1</f>
        <v/>
      </c>
      <c r="F6" s="5">
        <f>F5/F4-1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Contribution vs. pro forma ownership</t>
        </is>
      </c>
    </row>
    <row r="3">
      <c r="A3" s="3" t="inlineStr">
        <is>
          <t>Contribution ($)</t>
        </is>
      </c>
    </row>
    <row r="4">
      <c r="A4" s="2" t="inlineStr">
        <is>
          <t>Acquirer revenue</t>
        </is>
      </c>
      <c r="B4" s="4" t="n">
        <v>6801453960.000001</v>
      </c>
    </row>
    <row r="5">
      <c r="A5" s="2" t="inlineStr">
        <is>
          <t>Target revenue</t>
        </is>
      </c>
      <c r="B5" s="4" t="n">
        <v>2773841810</v>
      </c>
    </row>
    <row r="6">
      <c r="A6" s="2" t="inlineStr">
        <is>
          <t>Acquirer EBITDA</t>
        </is>
      </c>
      <c r="B6" s="4" t="n">
        <v>2516537965.2</v>
      </c>
    </row>
    <row r="7">
      <c r="A7" s="2" t="inlineStr">
        <is>
          <t>Target EBITDA</t>
        </is>
      </c>
      <c r="B7" s="4" t="n">
        <v>984713842.55</v>
      </c>
    </row>
    <row r="8">
      <c r="A8" s="2" t="inlineStr">
        <is>
          <t>Acquirer net income</t>
        </is>
      </c>
      <c r="B8" s="4" t="n">
        <v>2007774448.201239</v>
      </c>
    </row>
    <row r="9">
      <c r="A9" s="2" t="inlineStr">
        <is>
          <t>Target net income</t>
        </is>
      </c>
      <c r="B9" s="4" t="n">
        <v>713557569.2360203</v>
      </c>
    </row>
    <row r="11">
      <c r="A11" s="3" t="inlineStr">
        <is>
          <t>Pro forma ownership</t>
        </is>
      </c>
    </row>
    <row r="12">
      <c r="A12" s="2" t="inlineStr">
        <is>
          <t>Acquirer existing shares</t>
        </is>
      </c>
      <c r="B12" s="13" t="n">
        <v>155944000</v>
      </c>
    </row>
    <row r="13">
      <c r="A13" s="2" t="inlineStr">
        <is>
          <t>New shares issued to target</t>
        </is>
      </c>
      <c r="B13" s="13">
        <f>'Deal &amp; S&amp;U'!B8</f>
        <v/>
      </c>
    </row>
    <row r="14">
      <c r="A14" s="10" t="inlineStr">
        <is>
          <t>Acquirer ownership</t>
        </is>
      </c>
      <c r="B14" s="5">
        <f>B12/(B12+B13)</f>
        <v/>
      </c>
    </row>
    <row r="15">
      <c r="A15" s="10" t="inlineStr">
        <is>
          <t>Target ownership</t>
        </is>
      </c>
      <c r="B15" s="5">
        <f>B13/(B12+B13)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Sensitivities — premium × synergies (Year-1 A/D)</t>
        </is>
      </c>
    </row>
    <row r="3">
      <c r="A3" s="10" t="inlineStr">
        <is>
          <t>Breakeven synergies (Year-1 A/D = 0)</t>
        </is>
      </c>
      <c r="B3" s="4" t="n">
        <v>1249087126.925588</v>
      </c>
    </row>
    <row r="6">
      <c r="A6" s="10" t="inlineStr">
        <is>
          <t>premium \ synergies</t>
        </is>
      </c>
      <c r="B6" s="4" t="n">
        <v>0</v>
      </c>
      <c r="C6" s="4" t="n">
        <v>2000000000</v>
      </c>
      <c r="D6" s="4" t="n">
        <v>4000000000</v>
      </c>
      <c r="E6" s="4" t="n">
        <v>6000000000</v>
      </c>
      <c r="F6" s="4" t="n">
        <v>8000000000</v>
      </c>
    </row>
    <row r="7">
      <c r="A7" s="5" t="n">
        <v>0.1</v>
      </c>
      <c r="B7" s="5" t="n">
        <v>-0.3511927973289826</v>
      </c>
      <c r="C7" s="5" t="n">
        <v>0.3501077727054334</v>
      </c>
      <c r="D7" s="5">
        <f>B7+(C7-B7)/(C6-B6)*(D6-B6)</f>
        <v/>
      </c>
      <c r="E7" s="5">
        <f>B7+(C7-B7)/(C6-B6)*(E6-B6)</f>
        <v/>
      </c>
      <c r="F7" s="5">
        <f>B7+(C7-B7)/(C6-B6)*(F6-B6)</f>
        <v/>
      </c>
    </row>
    <row r="8">
      <c r="A8" s="5" t="n">
        <v>0.2</v>
      </c>
      <c r="B8" s="5" t="n">
        <v>-0.3975941080173231</v>
      </c>
      <c r="C8" s="5" t="n">
        <v>0.3037064620170928</v>
      </c>
      <c r="D8" s="5">
        <f>B8+(C8-B8)/(C6-B6)*(D6-B6)</f>
        <v/>
      </c>
      <c r="E8" s="5">
        <f>B8+(C8-B8)/(C6-B6)*(E6-B6)</f>
        <v/>
      </c>
      <c r="F8" s="5">
        <f>B8+(C8-B8)/(C6-B6)*(F6-B6)</f>
        <v/>
      </c>
    </row>
    <row r="9">
      <c r="A9" s="5" t="n">
        <v>0.3</v>
      </c>
      <c r="B9" s="5" t="n">
        <v>-0.4439954187056639</v>
      </c>
      <c r="C9" s="5" t="n">
        <v>0.2573051513287521</v>
      </c>
      <c r="D9" s="5">
        <f>B9+(C9-B9)/(C6-B6)*(D6-B6)</f>
        <v/>
      </c>
      <c r="E9" s="5">
        <f>B9+(C9-B9)/(C6-B6)*(E6-B6)</f>
        <v/>
      </c>
      <c r="F9" s="5">
        <f>B9+(C9-B9)/(C6-B6)*(F6-B6)</f>
        <v/>
      </c>
    </row>
    <row r="10">
      <c r="A10" s="5" t="n">
        <v>0.4</v>
      </c>
      <c r="B10" s="5" t="n">
        <v>-0.4903967293940045</v>
      </c>
      <c r="C10" s="5" t="n">
        <v>0.2109038406404116</v>
      </c>
      <c r="D10" s="5">
        <f>B10+(C10-B10)/(C6-B6)*(D6-B6)</f>
        <v/>
      </c>
      <c r="E10" s="5">
        <f>B10+(C10-B10)/(C6-B6)*(E6-B6)</f>
        <v/>
      </c>
      <c r="F10" s="5">
        <f>B10+(C10-B10)/(C6-B6)*(F6-B6)</f>
        <v/>
      </c>
    </row>
    <row r="11">
      <c r="A11" s="5" t="n">
        <v>0.5</v>
      </c>
      <c r="B11" s="5" t="n">
        <v>-0.5367980400823451</v>
      </c>
      <c r="C11" s="5" t="n">
        <v>0.1645025299520708</v>
      </c>
      <c r="D11" s="5">
        <f>B11+(C11-B11)/(C6-B6)*(D6-B6)</f>
        <v/>
      </c>
      <c r="E11" s="5">
        <f>B11+(C11-B11)/(C6-B6)*(E6-B6)</f>
        <v/>
      </c>
      <c r="F11" s="5">
        <f>B11+(C11-B11)/(C6-B6)*(F6-B6)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Precedent Transactions (premiums / multiples — cited)</t>
        </is>
      </c>
    </row>
    <row r="3">
      <c r="A3" s="3" t="inlineStr">
        <is>
          <t>Date</t>
        </is>
      </c>
      <c r="B3" s="3" t="inlineStr">
        <is>
          <t>Acquirer</t>
        </is>
      </c>
      <c r="C3" s="3" t="inlineStr">
        <is>
          <t>Target</t>
        </is>
      </c>
      <c r="D3" s="3" t="inlineStr">
        <is>
          <t>EV</t>
        </is>
      </c>
      <c r="E3" s="3" t="inlineStr">
        <is>
          <t>EV/Rev</t>
        </is>
      </c>
      <c r="F3" s="3" t="inlineStr">
        <is>
          <t>EV/EBITDA</t>
        </is>
      </c>
      <c r="G3" s="3" t="inlineStr">
        <is>
          <t>Source</t>
        </is>
      </c>
    </row>
    <row r="4">
      <c r="A4" s="2" t="inlineStr">
        <is>
          <t>2023-11-22</t>
        </is>
      </c>
      <c r="B4" s="2" t="inlineStr">
        <is>
          <t>Broadcom</t>
        </is>
      </c>
      <c r="C4" s="2" t="inlineStr">
        <is>
          <t>VMware</t>
        </is>
      </c>
      <c r="D4" s="4" t="n">
        <v>69000</v>
      </c>
      <c r="E4" s="14" t="n">
        <v>7.4</v>
      </c>
      <c r="F4" s="14" t="n">
        <v>20.6</v>
      </c>
      <c r="G4" s="2" t="inlineStr">
        <is>
          <t>Broadcom/VMware DEFM14A &amp; press release, announced 2022-05-26, closed 2023-11-22; EV ~$69B incl. debt</t>
        </is>
      </c>
    </row>
    <row r="5">
      <c r="A5" s="2" t="inlineStr">
        <is>
          <t>2022-09-15</t>
        </is>
      </c>
      <c r="B5" s="2" t="inlineStr">
        <is>
          <t>Adobe</t>
        </is>
      </c>
      <c r="C5" s="2" t="inlineStr">
        <is>
          <t>Figma</t>
        </is>
      </c>
      <c r="D5" s="4" t="n">
        <v>20000</v>
      </c>
      <c r="E5" s="14" t="n">
        <v>50</v>
      </c>
      <c r="G5" s="2" t="inlineStr">
        <is>
          <t>Adobe/Figma press release 2022-09-15 (deal later terminated 2023-12); ~$20B, ~50x ARR</t>
        </is>
      </c>
    </row>
    <row r="6">
      <c r="A6" s="2" t="inlineStr">
        <is>
          <t>2022-10-27</t>
        </is>
      </c>
      <c r="B6" s="2" t="inlineStr">
        <is>
          <t>Elon Musk / investors</t>
        </is>
      </c>
      <c r="C6" s="2" t="inlineStr">
        <is>
          <t>Twitter</t>
        </is>
      </c>
      <c r="D6" s="4" t="n">
        <v>44000</v>
      </c>
      <c r="E6" s="14" t="n">
        <v>7.3</v>
      </c>
      <c r="G6" s="2" t="inlineStr">
        <is>
          <t>Twitter merger proxy 2022; $54.20/share, ~$44B EV</t>
        </is>
      </c>
    </row>
    <row r="7">
      <c r="A7" s="2" t="inlineStr">
        <is>
          <t>2022-01-18</t>
        </is>
      </c>
      <c r="B7" s="2" t="inlineStr">
        <is>
          <t>Microsoft</t>
        </is>
      </c>
      <c r="C7" s="2" t="inlineStr">
        <is>
          <t>Activision Blizzard</t>
        </is>
      </c>
      <c r="D7" s="4" t="n">
        <v>68700</v>
      </c>
      <c r="E7" s="14" t="n">
        <v>7.9</v>
      </c>
      <c r="F7" s="14" t="n">
        <v>18.9</v>
      </c>
      <c r="G7" s="2" t="inlineStr">
        <is>
          <t>Microsoft/Activision DEFM14A, $95.00/share, ~$68.7B EV, closed 2023-10</t>
        </is>
      </c>
    </row>
    <row r="8">
      <c r="A8" s="2" t="inlineStr">
        <is>
          <t>2023-04-27</t>
        </is>
      </c>
      <c r="B8" s="2" t="inlineStr">
        <is>
          <t>Qualtrics</t>
        </is>
      </c>
      <c r="C8" s="2" t="inlineStr">
        <is>
          <t>Silver Lake/CPPIB</t>
        </is>
      </c>
      <c r="D8" s="4" t="n">
        <v>12500</v>
      </c>
      <c r="E8" s="14" t="n">
        <v>7</v>
      </c>
      <c r="G8" s="2" t="inlineStr">
        <is>
          <t>Qualtrics take-private DEFM14A 2023; $18.15/share, ~$12.5B EV</t>
        </is>
      </c>
    </row>
    <row r="9">
      <c r="A9" s="2" t="inlineStr">
        <is>
          <t>2021-04-15</t>
        </is>
      </c>
      <c r="B9" s="2" t="inlineStr">
        <is>
          <t>Thoma Bravo</t>
        </is>
      </c>
      <c r="C9" s="2" t="inlineStr">
        <is>
          <t>Proofpoint</t>
        </is>
      </c>
      <c r="D9" s="4" t="n">
        <v>12300</v>
      </c>
      <c r="E9" s="14" t="n">
        <v>10.9</v>
      </c>
      <c r="G9" s="2" t="inlineStr">
        <is>
          <t>Proofpoint DEFM14A 2021; $176.00/share, ~$12.3B EV</t>
        </is>
      </c>
    </row>
    <row r="10">
      <c r="A10" s="2" t="inlineStr">
        <is>
          <t>2020-12-01</t>
        </is>
      </c>
      <c r="B10" s="2" t="inlineStr">
        <is>
          <t>Salesforce</t>
        </is>
      </c>
      <c r="C10" s="2" t="inlineStr">
        <is>
          <t>Slack</t>
        </is>
      </c>
      <c r="D10" s="4" t="n">
        <v>27700</v>
      </c>
      <c r="E10" s="14" t="n">
        <v>26</v>
      </c>
      <c r="G10" s="2" t="inlineStr">
        <is>
          <t>Salesforce/Slack S-4 2020-2021; ~$27.7B, ~26x revenue</t>
        </is>
      </c>
    </row>
    <row r="11">
      <c r="A11" s="2" t="inlineStr">
        <is>
          <t>2022-03-08</t>
        </is>
      </c>
      <c r="B11" s="2" t="inlineStr">
        <is>
          <t>Google</t>
        </is>
      </c>
      <c r="C11" s="2" t="inlineStr">
        <is>
          <t>Mandiant</t>
        </is>
      </c>
      <c r="D11" s="4" t="n">
        <v>5400</v>
      </c>
      <c r="E11" s="14" t="n">
        <v>9</v>
      </c>
      <c r="G11" s="2" t="inlineStr">
        <is>
          <t>Google/Mandiant press release 2022-03-08; $23.00/share, ~$5.4B</t>
        </is>
      </c>
    </row>
    <row r="12">
      <c r="A12" s="2" t="inlineStr">
        <is>
          <t>2016-06-13</t>
        </is>
      </c>
      <c r="B12" s="2" t="inlineStr">
        <is>
          <t>Microsoft</t>
        </is>
      </c>
      <c r="C12" s="2" t="inlineStr">
        <is>
          <t>LinkedIn</t>
        </is>
      </c>
      <c r="D12" s="4" t="n">
        <v>26200</v>
      </c>
      <c r="E12" s="14" t="n">
        <v>7.2</v>
      </c>
      <c r="F12" s="14" t="n">
        <v>24</v>
      </c>
      <c r="G12" s="2" t="inlineStr">
        <is>
          <t>Microsoft/LinkedIn merger proxy 2016; $196.00/share, ~$26.2B EV (Qatalyst advised LinkedIn)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Fairness Comparison — advisor ranges vs. our reproduction</t>
        </is>
      </c>
    </row>
    <row r="3">
      <c r="A3" s="3" t="inlineStr">
        <is>
          <t>Advisor</t>
        </is>
      </c>
      <c r="B3" s="3" t="inlineStr">
        <is>
          <t>Method</t>
        </is>
      </c>
      <c r="C3" s="3" t="inlineStr">
        <is>
          <t>Disclosed low</t>
        </is>
      </c>
      <c r="D3" s="3" t="inlineStr">
        <is>
          <t>Disclosed high</t>
        </is>
      </c>
      <c r="E3" s="3" t="inlineStr">
        <is>
          <t>Our low</t>
        </is>
      </c>
      <c r="F3" s="3" t="inlineStr">
        <is>
          <t>Our high</t>
        </is>
      </c>
      <c r="G3" s="3" t="inlineStr">
        <is>
          <t>Disclosed mid</t>
        </is>
      </c>
      <c r="H3" s="3" t="inlineStr">
        <is>
          <t>Our mid</t>
        </is>
      </c>
      <c r="I3" s="3" t="inlineStr">
        <is>
          <t>Overlap %</t>
        </is>
      </c>
    </row>
    <row r="4">
      <c r="A4" s="2" t="inlineStr">
        <is>
          <t>Qatalyst Partners</t>
        </is>
      </c>
      <c r="B4" s="2" t="inlineStr">
        <is>
          <t>Discounted Cash Flow</t>
        </is>
      </c>
      <c r="C4" s="12" t="n">
        <v>160.25</v>
      </c>
      <c r="D4" s="12" t="n">
        <v>496.04</v>
      </c>
      <c r="E4" s="12" t="n">
        <v>342.4383130110388</v>
      </c>
      <c r="F4" s="12" t="n">
        <v>555.0228136232148</v>
      </c>
      <c r="G4" s="12">
        <f>(C4+D4)/2</f>
        <v/>
      </c>
      <c r="H4" s="12">
        <f>(E4+F4)/2</f>
        <v/>
      </c>
      <c r="I4" s="5">
        <f>MAX(0,MIN(1,(MIN(D4,F4)-MAX(C4,E4))/(D4-C4)))</f>
        <v/>
      </c>
    </row>
    <row r="5">
      <c r="A5" s="2" t="inlineStr">
        <is>
          <t>Qatalyst Partners</t>
        </is>
      </c>
      <c r="B5" s="2" t="inlineStr">
        <is>
          <t>Selected Companies</t>
        </is>
      </c>
      <c r="C5" s="12" t="n">
        <v>198.32</v>
      </c>
      <c r="D5" s="12" t="n">
        <v>340.71</v>
      </c>
      <c r="E5" s="12" t="n">
        <v>227.6632797892591</v>
      </c>
      <c r="F5" s="12" t="n">
        <v>364.2612476628145</v>
      </c>
      <c r="G5" s="12">
        <f>(C5+D5)/2</f>
        <v/>
      </c>
      <c r="H5" s="12">
        <f>(E5+F5)/2</f>
        <v/>
      </c>
      <c r="I5" s="5">
        <f>MAX(0,MIN(1,(MIN(D5,F5)-MAX(C5,E5))/(D5-C5)))</f>
        <v/>
      </c>
    </row>
    <row r="6">
      <c r="A6" s="2" t="inlineStr">
        <is>
          <t>Qatalyst Partners</t>
        </is>
      </c>
      <c r="B6" s="2" t="inlineStr">
        <is>
          <t>Selected Transactions</t>
        </is>
      </c>
      <c r="C6" s="12" t="n">
        <v>199.97</v>
      </c>
      <c r="D6" s="12" t="n">
        <v>319.88</v>
      </c>
      <c r="E6" s="12" t="n">
        <v>227.6632797892591</v>
      </c>
      <c r="F6" s="12" t="n">
        <v>364.2612476628145</v>
      </c>
      <c r="G6" s="12">
        <f>(C6+D6)/2</f>
        <v/>
      </c>
      <c r="H6" s="12">
        <f>(E6+F6)/2</f>
        <v/>
      </c>
      <c r="I6" s="5">
        <f>MAX(0,MIN(1,(MIN(D6,F6)-MAX(C6,E6))/(D6-C6)))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